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908B45-EA8D-4889-AD38-45375E72E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Asumsi" sheetId="2" r:id="rId2"/>
    <sheet name="Perhitungan Gudang" sheetId="3" r:id="rId3"/>
    <sheet name="Skema Operasio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13" i="3"/>
  <c r="E13" i="3"/>
  <c r="G13" i="3" s="1"/>
  <c r="H13" i="3" s="1"/>
  <c r="I13" i="3" s="1"/>
  <c r="J13" i="3" s="1"/>
  <c r="K13" i="3" s="1"/>
  <c r="D13" i="3"/>
  <c r="B19" i="1" s="1"/>
  <c r="F12" i="3"/>
  <c r="E12" i="3"/>
  <c r="G12" i="3" s="1"/>
  <c r="H12" i="3" s="1"/>
  <c r="I12" i="3" s="1"/>
  <c r="J12" i="3" s="1"/>
  <c r="K12" i="3" s="1"/>
  <c r="D12" i="3"/>
  <c r="F11" i="3"/>
  <c r="E11" i="3"/>
  <c r="G11" i="3" s="1"/>
  <c r="H11" i="3" s="1"/>
  <c r="I11" i="3" s="1"/>
  <c r="J11" i="3" s="1"/>
  <c r="K11" i="3" s="1"/>
  <c r="D11" i="3"/>
  <c r="B6" i="1" s="1"/>
  <c r="B7" i="3"/>
  <c r="F5" i="3" s="1"/>
  <c r="F7" i="3" s="1"/>
  <c r="F6" i="3"/>
  <c r="D6" i="3"/>
  <c r="E6" i="3" s="1"/>
  <c r="C6" i="3"/>
  <c r="D5" i="3"/>
  <c r="D7" i="3" s="1"/>
  <c r="K22" i="3" s="1"/>
  <c r="C5" i="3"/>
  <c r="E5" i="3" s="1"/>
  <c r="E7" i="3" s="1"/>
  <c r="B5" i="1" s="1"/>
  <c r="B9" i="2"/>
  <c r="C19" i="3" s="1"/>
  <c r="D19" i="3" s="1"/>
  <c r="E19" i="3" s="1"/>
  <c r="C8" i="2"/>
  <c r="C9" i="2" s="1"/>
  <c r="B8" i="2"/>
  <c r="B18" i="1"/>
  <c r="E6" i="1"/>
  <c r="B4" i="1"/>
  <c r="C17" i="1" l="1"/>
  <c r="L11" i="3"/>
  <c r="D17" i="1" s="1"/>
  <c r="L13" i="3"/>
  <c r="D19" i="1" s="1"/>
  <c r="C19" i="1"/>
  <c r="C18" i="1"/>
  <c r="L12" i="3"/>
  <c r="D18" i="1" s="1"/>
  <c r="C7" i="3"/>
  <c r="J22" i="3" s="1"/>
  <c r="I22" i="3"/>
  <c r="L22" i="3" s="1"/>
  <c r="C17" i="3"/>
  <c r="D17" i="3" s="1"/>
  <c r="E17" i="3" s="1"/>
  <c r="B17" i="1"/>
  <c r="C18" i="3"/>
  <c r="D18" i="3" s="1"/>
  <c r="E18" i="3" s="1"/>
</calcChain>
</file>

<file path=xl/sharedStrings.xml><?xml version="1.0" encoding="utf-8"?>
<sst xmlns="http://schemas.openxmlformats.org/spreadsheetml/2006/main" count="321" uniqueCount="188">
  <si>
    <t>AUCMA – Warehouse &amp; Import Distribution Scheme KDKMP</t>
  </si>
  <si>
    <t>KPI Utama</t>
  </si>
  <si>
    <t>Nilai</t>
  </si>
  <si>
    <t>Rekomendasi</t>
  </si>
  <si>
    <t>Kapasitas</t>
  </si>
  <si>
    <t>Total Kopdes</t>
  </si>
  <si>
    <t>Cikarang</t>
  </si>
  <si>
    <t>Total Unit</t>
  </si>
  <si>
    <t>Surabaya</t>
  </si>
  <si>
    <t>Peak Arrival</t>
  </si>
  <si>
    <t>TOTAL</t>
  </si>
  <si>
    <t>Rekomendasi Utama</t>
  </si>
  <si>
    <t>1. Siapkan total gudang tetap 10.500 m²: Cikarang 7.000 m² dan Surabaya 3.500 m².</t>
  </si>
  <si>
    <t>2. Perhitungan menggunakan dimensi aktual SD-616AIC dan SC-469 dengan target dwelling time maksimum 7 hari.</t>
  </si>
  <si>
    <t>3. Siapkan opsi overflow 2.500–4.000 m², dibayar hanya saat digunakan.</t>
  </si>
  <si>
    <t>4. Cikarang menangani Jawa dan Sumatera; Surabaya menangani Jawa Timur, Bali, NTB dan NTT.</t>
  </si>
  <si>
    <t>5. Asumsi saat ini kedua produk dapat disusun maksimal 2 tingkat; konfirmasi dengan SOP stacking produk.</t>
  </si>
  <si>
    <t>Kebutuhan Gudang Berdasarkan Bulan</t>
  </si>
  <si>
    <t>Bulan</t>
  </si>
  <si>
    <t>Total Arrival</t>
  </si>
  <si>
    <t>Area dengan Flow-through</t>
  </si>
  <si>
    <t>Rekomendasi Pembulatan</t>
  </si>
  <si>
    <t>Gudang</t>
  </si>
  <si>
    <t>Coverage</t>
  </si>
  <si>
    <t>Luas</t>
  </si>
  <si>
    <t>Oktober</t>
  </si>
  <si>
    <t>Jawa &amp; Sumatera</t>
  </si>
  <si>
    <t>November</t>
  </si>
  <si>
    <t>Jatim, Bali, NTB &amp; NTT</t>
  </si>
  <si>
    <t>Desember</t>
  </si>
  <si>
    <t>Overflow</t>
  </si>
  <si>
    <t>Sesuai kebutuhan</t>
  </si>
  <si>
    <t>AUCMA – Asumsi Perhitungan Gudang Project KDKMP</t>
  </si>
  <si>
    <t>Parameter</t>
  </si>
  <si>
    <t>Freezer (SD-616AIC)</t>
  </si>
  <si>
    <t>Showcase Chiller (SC-469)</t>
  </si>
  <si>
    <t>Satuan</t>
  </si>
  <si>
    <t>Status</t>
  </si>
  <si>
    <t>Catatan</t>
  </si>
  <si>
    <t>Jumlah unit per Kopdes</t>
  </si>
  <si>
    <t>unit</t>
  </si>
  <si>
    <t>Input</t>
  </si>
  <si>
    <t>Sesuai alokasi project</t>
  </si>
  <si>
    <t>Panjang karton</t>
  </si>
  <si>
    <t>meter</t>
  </si>
  <si>
    <t>Width aktual; dikonversi dari mm ke meter</t>
  </si>
  <si>
    <t>Lebar karton</t>
  </si>
  <si>
    <t>Length aktual; dikonversi dari mm ke meter</t>
  </si>
  <si>
    <t>Maksimum susun</t>
  </si>
  <si>
    <t>tingkat</t>
  </si>
  <si>
    <t>Harus dikonfirmasi dengan SOP produk</t>
  </si>
  <si>
    <t>Footprint per unit</t>
  </si>
  <si>
    <t>m²</t>
  </si>
  <si>
    <t>Formula</t>
  </si>
  <si>
    <t>Panjang × lebar ÷ jumlah susun</t>
  </si>
  <si>
    <t>Net area per paket Kopdes</t>
  </si>
  <si>
    <t>Unit per Kopdes × footprint</t>
  </si>
  <si>
    <t>Utilisasi area penyimpanan</t>
  </si>
  <si>
    <t>%</t>
  </si>
  <si>
    <t>Sisa area untuk aisle dan handling</t>
  </si>
  <si>
    <t>Tambahan staging/karantina</t>
  </si>
  <si>
    <t>Inbound, outbound, inspeksi dan damage area</t>
  </si>
  <si>
    <t>Parameter Operasional &amp; Buffer</t>
  </si>
  <si>
    <t>Target dwelling time</t>
  </si>
  <si>
    <t>hari</t>
  </si>
  <si>
    <t>Barang keluar maksimal 7 hari setelah inbound</t>
  </si>
  <si>
    <t>Buffer ketidakpastian</t>
  </si>
  <si>
    <t>Keterlambatan kapal, customs dan penerima</t>
  </si>
  <si>
    <t>Luas kontrak tetap disarankan</t>
  </si>
  <si>
    <t>Dibulatkan dari kebutuhan puncak</t>
  </si>
  <si>
    <t>Opsi overflow minimum</t>
  </si>
  <si>
    <t>Aktif hanya bila utilisasi tinggi</t>
  </si>
  <si>
    <t>Opsi overflow maksimum</t>
  </si>
  <si>
    <t>Untuk skenario keterlambatan outbound</t>
  </si>
  <si>
    <t>Data Produk Aktual</t>
  </si>
  <si>
    <t>Model</t>
  </si>
  <si>
    <t>Kategori</t>
  </si>
  <si>
    <t>Width (mm)</t>
  </si>
  <si>
    <t>Length (mm)</t>
  </si>
  <si>
    <t>Height (mm)</t>
  </si>
  <si>
    <t>Weight (kg)</t>
  </si>
  <si>
    <t>CBM</t>
  </si>
  <si>
    <t>SC-469</t>
  </si>
  <si>
    <t>Showcase Chiller</t>
  </si>
  <si>
    <t>SD-616AIC</t>
  </si>
  <si>
    <t>Freezer</t>
  </si>
  <si>
    <t>Perhitungan Kebutuhan Gudang – Formula Driven</t>
  </si>
  <si>
    <t>A. Alokasi Project</t>
  </si>
  <si>
    <t>Wilayah</t>
  </si>
  <si>
    <t>Kopdes</t>
  </si>
  <si>
    <t>% Kopdes</t>
  </si>
  <si>
    <t>Jawa</t>
  </si>
  <si>
    <t>Bali, Nusa Tenggara &amp; Sumatera</t>
  </si>
  <si>
    <t>B. Kedatangan Import &amp; Kebutuhan Area</t>
  </si>
  <si>
    <t>Chiller</t>
  </si>
  <si>
    <t>Paket Kopdes</t>
  </si>
  <si>
    <t>Hari/Bulan</t>
  </si>
  <si>
    <t>Paket/Hari</t>
  </si>
  <si>
    <t>Stok 7 Hari</t>
  </si>
  <si>
    <t>Net Area m²</t>
  </si>
  <si>
    <t>Gross Area m²</t>
  </si>
  <si>
    <t>+ Buffer</t>
  </si>
  <si>
    <t>Rekomendasi m²</t>
  </si>
  <si>
    <t>C. Skenario Jika Seluruh Batch Bulanan Disimpan</t>
  </si>
  <si>
    <t>+ Staging</t>
  </si>
  <si>
    <t>Dampak</t>
  </si>
  <si>
    <t>Tidak efisien – perlu flow-through</t>
  </si>
  <si>
    <t>Risiko kebutuhan area sangat besar</t>
  </si>
  <si>
    <t>QC</t>
  </si>
  <si>
    <t>Reconciliation</t>
  </si>
  <si>
    <t>Skema Operasional End-to-End</t>
  </si>
  <si>
    <t>Tahap</t>
  </si>
  <si>
    <t>Lokasi</t>
  </si>
  <si>
    <t>Aktivitas Utama</t>
  </si>
  <si>
    <t>Dokumen/Kontrol</t>
  </si>
  <si>
    <t>Target Lead Time</t>
  </si>
  <si>
    <t>PIC</t>
  </si>
  <si>
    <t>Risiko Utama</t>
  </si>
  <si>
    <t>Mitigasi</t>
  </si>
  <si>
    <t>Factory China</t>
  </si>
  <si>
    <t>Produksi dan pemisahan batch berdasarkan port/region</t>
  </si>
  <si>
    <t>Production plan, SKU &amp; serial list</t>
  </si>
  <si>
    <t>Sesuai production schedule</t>
  </si>
  <si>
    <t>Factory / SCM</t>
  </si>
  <si>
    <t>Mix destination</t>
  </si>
  <si>
    <t>Label region sebelum stuffing</t>
  </si>
  <si>
    <t>Pre-shipment inspection dan final QC</t>
  </si>
  <si>
    <t>Inspection report, packing list</t>
  </si>
  <si>
    <t>Sebelum stuffing</t>
  </si>
  <si>
    <t>QA / Surveyor</t>
  </si>
  <si>
    <t>Damage/function issue</t>
  </si>
  <si>
    <t>100% visual dan sampling fungsi</t>
  </si>
  <si>
    <t>China Port</t>
  </si>
  <si>
    <t>Stuffing dan shipment booking</t>
  </si>
  <si>
    <t>BL, invoice, packing list</t>
  </si>
  <si>
    <t>Sesuai ETD</t>
  </si>
  <si>
    <t>Forwarder</t>
  </si>
  <si>
    <t>Roll-over vessel</t>
  </si>
  <si>
    <t>Booking 3–4 minggu sebelumnya</t>
  </si>
  <si>
    <t>Tanjung Priok / Perak</t>
  </si>
  <si>
    <t>Arrival dan customs clearance</t>
  </si>
  <si>
    <t>PIB, LS/SNI bila berlaku</t>
  </si>
  <si>
    <t>2–3 hari</t>
  </si>
  <si>
    <t>Import / PPJK</t>
  </si>
  <si>
    <t>Customs delay</t>
  </si>
  <si>
    <t>Pre-clearance sebelum ETA</t>
  </si>
  <si>
    <t>Cikarang / Surabaya</t>
  </si>
  <si>
    <t>Inbound, scan serial, GRN dan QC fisik</t>
  </si>
  <si>
    <t>GRN, discrepancy report</t>
  </si>
  <si>
    <t>Hari yang sama</t>
  </si>
  <si>
    <t>Warehouse</t>
  </si>
  <si>
    <t>Selisih/damage</t>
  </si>
  <si>
    <t>Dedicated inbound lane</t>
  </si>
  <si>
    <t>Sortir per rute dan paket Kopdes</t>
  </si>
  <si>
    <t>Allocation list</t>
  </si>
  <si>
    <t>H+1</t>
  </si>
  <si>
    <t>Warehouse / Transport</t>
  </si>
  <si>
    <t>Salah alokasi</t>
  </si>
  <si>
    <t>Barcode scan per destination</t>
  </si>
  <si>
    <t>Loading 2 freezer + 2 chiller per Kopdes</t>
  </si>
  <si>
    <t>Delivery order</t>
  </si>
  <si>
    <t>Maks. 7 hari dari inbound</t>
  </si>
  <si>
    <t>Transport</t>
  </si>
  <si>
    <t>Produk tidak lengkap</t>
  </si>
  <si>
    <t>Loading checklist per Kopdes</t>
  </si>
  <si>
    <t>Delivery, unloading dan serah terima</t>
  </si>
  <si>
    <t>BAST, POD, foto, GPS</t>
  </si>
  <si>
    <t>Sesuai route plan</t>
  </si>
  <si>
    <t>Driver / Receiver</t>
  </si>
  <si>
    <t>Penerima belum siap</t>
  </si>
  <si>
    <t>Konfirmasi H-1</t>
  </si>
  <si>
    <t>Control Tower</t>
  </si>
  <si>
    <t>POD monitoring dan exception closure</t>
  </si>
  <si>
    <t>POD tracker, claim report</t>
  </si>
  <si>
    <t>POD ≤ 2 hari</t>
  </si>
  <si>
    <t>Logistics Control</t>
  </si>
  <si>
    <t>POD terlambat</t>
  </si>
  <si>
    <t>Daily aging monitoring</t>
  </si>
  <si>
    <t>Pembagian Port dan Warehouse</t>
  </si>
  <si>
    <t>Gateway</t>
  </si>
  <si>
    <t>Kapasitas Awal</t>
  </si>
  <si>
    <t>Tanjung Priok</t>
  </si>
  <si>
    <t>Jawa bagian barat/tengah dan Sumatera</t>
  </si>
  <si>
    <t>Tanjung Perak</t>
  </si>
  <si>
    <t>Jawa Timur, Bali, NTB dan NTT</t>
  </si>
  <si>
    <t>Flexible</t>
  </si>
  <si>
    <t>Dialokasikan berdasarkan backlog aktual</t>
  </si>
  <si>
    <t>Estimasi Cost/Month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</si>
</sst>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&quot;m²&quot;"/>
    <numFmt numFmtId="166" formatCode="#,##0\ &quot;unit&quot;"/>
  </numFmts>
  <fonts count="9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17365D"/>
      <name val="Aptos"/>
    </font>
    <font>
      <sz val="11"/>
      <color rgb="FF0070C0"/>
      <name val="Aptos"/>
    </font>
    <font>
      <b/>
      <sz val="11"/>
      <color rgb="FFFFFFFF"/>
      <name val="Aptos"/>
    </font>
    <font>
      <b/>
      <sz val="14"/>
      <color rgb="FF1F4E78"/>
      <name val="Aptos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8FAF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2" fontId="6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9" fontId="6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9" fontId="6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3" fontId="6" fillId="0" borderId="5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9" fontId="4" fillId="0" borderId="6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3" fontId="4" fillId="5" borderId="9" xfId="0" applyNumberFormat="1" applyFont="1" applyFill="1" applyBorder="1" applyAlignment="1">
      <alignment vertical="center"/>
    </xf>
    <xf numFmtId="9" fontId="4" fillId="5" borderId="10" xfId="0" applyNumberFormat="1" applyFont="1" applyFill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3" fontId="6" fillId="6" borderId="7" xfId="0" applyNumberFormat="1" applyFont="1" applyFill="1" applyBorder="1" applyAlignment="1">
      <alignment vertical="center"/>
    </xf>
    <xf numFmtId="3" fontId="4" fillId="6" borderId="7" xfId="0" applyNumberFormat="1" applyFont="1" applyFill="1" applyBorder="1" applyAlignment="1">
      <alignment vertical="center"/>
    </xf>
    <xf numFmtId="165" fontId="4" fillId="6" borderId="7" xfId="0" applyNumberFormat="1" applyFont="1" applyFill="1" applyBorder="1" applyAlignment="1">
      <alignment vertical="center"/>
    </xf>
    <xf numFmtId="165" fontId="4" fillId="6" borderId="1" xfId="0" applyNumberFormat="1" applyFont="1" applyFill="1" applyBorder="1" applyAlignment="1">
      <alignment vertical="center"/>
    </xf>
    <xf numFmtId="3" fontId="6" fillId="0" borderId="9" xfId="0" applyNumberFormat="1" applyFont="1" applyBorder="1" applyAlignment="1">
      <alignment vertical="center"/>
    </xf>
    <xf numFmtId="3" fontId="4" fillId="0" borderId="9" xfId="0" applyNumberFormat="1" applyFont="1" applyBorder="1" applyAlignment="1">
      <alignment vertical="center"/>
    </xf>
    <xf numFmtId="165" fontId="4" fillId="0" borderId="9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7" borderId="0" xfId="0" applyFont="1" applyFill="1"/>
    <xf numFmtId="3" fontId="8" fillId="7" borderId="0" xfId="0" applyNumberFormat="1" applyFont="1" applyFill="1"/>
    <xf numFmtId="0" fontId="5" fillId="5" borderId="0" xfId="0" applyFont="1" applyFill="1"/>
    <xf numFmtId="165" fontId="8" fillId="5" borderId="0" xfId="0" applyNumberFormat="1" applyFont="1" applyFill="1"/>
    <xf numFmtId="166" fontId="4" fillId="0" borderId="5" xfId="0" applyNumberFormat="1" applyFont="1" applyBorder="1" applyAlignment="1">
      <alignment vertical="center"/>
    </xf>
    <xf numFmtId="166" fontId="4" fillId="6" borderId="7" xfId="0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10" borderId="1" xfId="0" applyFont="1" applyFill="1" applyBorder="1"/>
    <xf numFmtId="0" fontId="1" fillId="10" borderId="2" xfId="0" applyFont="1" applyFill="1" applyBorder="1"/>
    <xf numFmtId="0" fontId="1" fillId="10" borderId="3" xfId="0" applyFont="1" applyFill="1" applyBorder="1"/>
    <xf numFmtId="3" fontId="0" fillId="0" borderId="5" xfId="0" applyNumberFormat="1" applyBorder="1"/>
    <xf numFmtId="3" fontId="0" fillId="0" borderId="9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0" fontId="3" fillId="2" borderId="0" xfId="0" applyFont="1" applyFill="1" applyAlignment="1">
      <alignment vertical="center"/>
    </xf>
    <xf numFmtId="0" fontId="7" fillId="4" borderId="0" xfId="0" applyFont="1" applyFill="1"/>
    <xf numFmtId="0" fontId="4" fillId="8" borderId="10" xfId="0" applyFont="1" applyFill="1" applyBorder="1" applyAlignment="1">
      <alignment wrapText="1"/>
    </xf>
    <xf numFmtId="0" fontId="4" fillId="8" borderId="11" xfId="0" applyFont="1" applyFill="1" applyBorder="1" applyAlignment="1">
      <alignment wrapText="1"/>
    </xf>
    <xf numFmtId="0" fontId="4" fillId="8" borderId="8" xfId="0" applyFont="1" applyFill="1" applyBorder="1" applyAlignment="1">
      <alignment wrapText="1"/>
    </xf>
    <xf numFmtId="0" fontId="4" fillId="8" borderId="12" xfId="0" applyFont="1" applyFill="1" applyBorder="1" applyAlignment="1">
      <alignment wrapText="1"/>
    </xf>
    <xf numFmtId="0" fontId="4" fillId="8" borderId="0" xfId="0" applyFont="1" applyFill="1" applyAlignment="1">
      <alignment wrapText="1"/>
    </xf>
    <xf numFmtId="0" fontId="4" fillId="8" borderId="13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4" fillId="8" borderId="14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topLeftCell="A2" zoomScale="85" zoomScaleNormal="85" workbookViewId="0">
      <selection activeCell="A8" sqref="A8:H8"/>
    </sheetView>
  </sheetViews>
  <sheetFormatPr defaultRowHeight="14"/>
  <cols>
    <col min="1" max="1" width="24" customWidth="1"/>
    <col min="2" max="2" width="19" customWidth="1"/>
    <col min="3" max="3" width="22" customWidth="1"/>
    <col min="4" max="4" width="23" customWidth="1"/>
    <col min="5" max="5" width="17" customWidth="1"/>
    <col min="6" max="6" width="17.4140625" bestFit="1" customWidth="1"/>
    <col min="7" max="7" width="29" customWidth="1"/>
    <col min="8" max="8" width="16" customWidth="1"/>
  </cols>
  <sheetData>
    <row r="1" spans="1:8" ht="30" customHeight="1">
      <c r="A1" s="75" t="s">
        <v>0</v>
      </c>
      <c r="B1" s="75" t="s">
        <v>0</v>
      </c>
      <c r="C1" s="75" t="s">
        <v>0</v>
      </c>
      <c r="D1" s="75" t="s">
        <v>0</v>
      </c>
      <c r="E1" s="75" t="s">
        <v>0</v>
      </c>
      <c r="F1" s="75" t="s">
        <v>0</v>
      </c>
      <c r="G1" s="75" t="s">
        <v>0</v>
      </c>
      <c r="H1" s="75" t="s">
        <v>0</v>
      </c>
    </row>
    <row r="2" spans="1:8" ht="14.5">
      <c r="A2" s="8"/>
      <c r="B2" s="8"/>
      <c r="C2" s="8"/>
      <c r="D2" s="8"/>
      <c r="E2" s="8"/>
      <c r="F2" s="8"/>
      <c r="G2" s="8"/>
      <c r="H2" s="8"/>
    </row>
    <row r="3" spans="1:8" ht="29">
      <c r="A3" s="9" t="s">
        <v>1</v>
      </c>
      <c r="B3" s="11" t="s">
        <v>2</v>
      </c>
      <c r="C3" s="8"/>
      <c r="D3" s="9" t="s">
        <v>3</v>
      </c>
      <c r="E3" s="11" t="s">
        <v>4</v>
      </c>
      <c r="F3" s="11" t="s">
        <v>187</v>
      </c>
      <c r="G3" s="8"/>
      <c r="H3" s="8"/>
    </row>
    <row r="4" spans="1:8" ht="18.5">
      <c r="A4" s="48" t="s">
        <v>5</v>
      </c>
      <c r="B4" s="49">
        <f>'Perhitungan Gudang'!B7</f>
        <v>20000</v>
      </c>
      <c r="C4" s="8"/>
      <c r="D4" s="50" t="s">
        <v>6</v>
      </c>
      <c r="E4" s="51">
        <v>7000</v>
      </c>
      <c r="F4" s="51">
        <f>E4*80000</f>
        <v>560000000</v>
      </c>
      <c r="G4" s="8"/>
      <c r="H4" s="8"/>
    </row>
    <row r="5" spans="1:8" ht="18.5">
      <c r="A5" s="48" t="s">
        <v>7</v>
      </c>
      <c r="B5" s="49">
        <f>'Perhitungan Gudang'!E7</f>
        <v>80000</v>
      </c>
      <c r="C5" s="8"/>
      <c r="D5" s="50" t="s">
        <v>8</v>
      </c>
      <c r="E5" s="51">
        <v>3500</v>
      </c>
      <c r="F5" s="51">
        <f>E5*80000</f>
        <v>280000000</v>
      </c>
      <c r="G5" s="8"/>
      <c r="H5" s="8"/>
    </row>
    <row r="6" spans="1:8" ht="18.5">
      <c r="A6" s="48" t="s">
        <v>9</v>
      </c>
      <c r="B6" s="49">
        <f>MAX('Perhitungan Gudang'!D11:D13)</f>
        <v>40000</v>
      </c>
      <c r="C6" s="8"/>
      <c r="D6" s="50" t="s">
        <v>10</v>
      </c>
      <c r="E6" s="51">
        <f>SUM(E4:E5)</f>
        <v>10500</v>
      </c>
      <c r="F6" s="51">
        <f>E6*80000</f>
        <v>840000000</v>
      </c>
      <c r="G6" s="8"/>
      <c r="H6" s="8"/>
    </row>
    <row r="7" spans="1:8" ht="14.5">
      <c r="A7" s="8"/>
      <c r="B7" s="8"/>
      <c r="C7" s="8"/>
      <c r="D7" s="8"/>
      <c r="E7" s="8"/>
      <c r="F7" s="8"/>
      <c r="G7" s="8"/>
      <c r="H7" s="8"/>
    </row>
    <row r="8" spans="1:8" ht="23" customHeight="1">
      <c r="A8" s="76" t="s">
        <v>11</v>
      </c>
      <c r="B8" s="76" t="s">
        <v>11</v>
      </c>
      <c r="C8" s="76" t="s">
        <v>11</v>
      </c>
      <c r="D8" s="76" t="s">
        <v>11</v>
      </c>
      <c r="E8" s="76" t="s">
        <v>11</v>
      </c>
      <c r="F8" s="76" t="s">
        <v>11</v>
      </c>
      <c r="G8" s="76" t="s">
        <v>11</v>
      </c>
      <c r="H8" s="76" t="s">
        <v>11</v>
      </c>
    </row>
    <row r="9" spans="1:8" ht="26" customHeight="1">
      <c r="A9" s="77" t="s">
        <v>12</v>
      </c>
      <c r="B9" s="78"/>
      <c r="C9" s="78"/>
      <c r="D9" s="78"/>
      <c r="E9" s="78"/>
      <c r="F9" s="78"/>
      <c r="G9" s="78"/>
      <c r="H9" s="79"/>
    </row>
    <row r="10" spans="1:8" ht="26" customHeight="1">
      <c r="A10" s="80" t="s">
        <v>13</v>
      </c>
      <c r="B10" s="81"/>
      <c r="C10" s="81"/>
      <c r="D10" s="81"/>
      <c r="E10" s="81"/>
      <c r="F10" s="81"/>
      <c r="G10" s="81"/>
      <c r="H10" s="82"/>
    </row>
    <row r="11" spans="1:8" ht="26" customHeight="1">
      <c r="A11" s="80" t="s">
        <v>14</v>
      </c>
      <c r="B11" s="81"/>
      <c r="C11" s="81"/>
      <c r="D11" s="81"/>
      <c r="E11" s="81"/>
      <c r="F11" s="81"/>
      <c r="G11" s="81"/>
      <c r="H11" s="82"/>
    </row>
    <row r="12" spans="1:8" ht="26" customHeight="1">
      <c r="A12" s="80" t="s">
        <v>15</v>
      </c>
      <c r="B12" s="81"/>
      <c r="C12" s="81"/>
      <c r="D12" s="81"/>
      <c r="E12" s="81"/>
      <c r="F12" s="81"/>
      <c r="G12" s="81"/>
      <c r="H12" s="82"/>
    </row>
    <row r="13" spans="1:8" ht="26" customHeight="1">
      <c r="A13" s="83" t="s">
        <v>16</v>
      </c>
      <c r="B13" s="84"/>
      <c r="C13" s="84"/>
      <c r="D13" s="84"/>
      <c r="E13" s="84"/>
      <c r="F13" s="84"/>
      <c r="G13" s="84"/>
      <c r="H13" s="85"/>
    </row>
    <row r="14" spans="1:8" ht="14.5">
      <c r="A14" s="8"/>
      <c r="B14" s="8"/>
      <c r="C14" s="8"/>
      <c r="D14" s="8"/>
      <c r="E14" s="8"/>
      <c r="F14" s="8"/>
      <c r="G14" s="8"/>
      <c r="H14" s="8"/>
    </row>
    <row r="15" spans="1:8" ht="23" customHeight="1">
      <c r="A15" s="76" t="s">
        <v>17</v>
      </c>
      <c r="B15" s="76" t="s">
        <v>17</v>
      </c>
      <c r="C15" s="76" t="s">
        <v>17</v>
      </c>
      <c r="D15" s="76" t="s">
        <v>17</v>
      </c>
      <c r="E15" s="76" t="s">
        <v>17</v>
      </c>
      <c r="F15" s="76" t="s">
        <v>17</v>
      </c>
      <c r="G15" s="76" t="s">
        <v>17</v>
      </c>
      <c r="H15" s="76" t="s">
        <v>17</v>
      </c>
    </row>
    <row r="16" spans="1:8" ht="29">
      <c r="A16" s="9" t="s">
        <v>18</v>
      </c>
      <c r="B16" s="10" t="s">
        <v>19</v>
      </c>
      <c r="C16" s="10" t="s">
        <v>20</v>
      </c>
      <c r="D16" s="11" t="s">
        <v>21</v>
      </c>
      <c r="E16" s="8"/>
      <c r="F16" s="9" t="s">
        <v>22</v>
      </c>
      <c r="G16" s="10" t="s">
        <v>23</v>
      </c>
      <c r="H16" s="11" t="s">
        <v>24</v>
      </c>
    </row>
    <row r="17" spans="1:8" ht="14.5">
      <c r="A17" s="12" t="s">
        <v>25</v>
      </c>
      <c r="B17" s="52">
        <f>'Perhitungan Gudang'!D11</f>
        <v>20000</v>
      </c>
      <c r="C17" s="36">
        <f>'Perhitungan Gudang'!K11</f>
        <v>5205.8142499999985</v>
      </c>
      <c r="D17" s="37">
        <f>'Perhitungan Gudang'!L11</f>
        <v>5500</v>
      </c>
      <c r="E17" s="8"/>
      <c r="F17" s="12" t="s">
        <v>6</v>
      </c>
      <c r="G17" s="14" t="s">
        <v>26</v>
      </c>
      <c r="H17" s="37">
        <v>7000</v>
      </c>
    </row>
    <row r="18" spans="1:8" ht="14.5">
      <c r="A18" s="38" t="s">
        <v>27</v>
      </c>
      <c r="B18" s="53">
        <f>'Perhitungan Gudang'!D12</f>
        <v>40000</v>
      </c>
      <c r="C18" s="41">
        <f>'Perhitungan Gudang'!K12</f>
        <v>10411.628499999997</v>
      </c>
      <c r="D18" s="42">
        <f>'Perhitungan Gudang'!L12</f>
        <v>10500</v>
      </c>
      <c r="E18" s="8"/>
      <c r="F18" s="16" t="s">
        <v>8</v>
      </c>
      <c r="G18" s="18" t="s">
        <v>28</v>
      </c>
      <c r="H18" s="54">
        <v>3500</v>
      </c>
    </row>
    <row r="19" spans="1:8" ht="14.5">
      <c r="A19" s="23" t="s">
        <v>29</v>
      </c>
      <c r="B19" s="55">
        <f>'Perhitungan Gudang'!D13</f>
        <v>20000</v>
      </c>
      <c r="C19" s="45">
        <f>'Perhitungan Gudang'!K13</f>
        <v>5205.8142499999985</v>
      </c>
      <c r="D19" s="46">
        <f>'Perhitungan Gudang'!L13</f>
        <v>5500</v>
      </c>
      <c r="E19" s="8"/>
      <c r="F19" s="23" t="s">
        <v>30</v>
      </c>
      <c r="G19" s="25" t="s">
        <v>31</v>
      </c>
      <c r="H19" s="46">
        <v>2500</v>
      </c>
    </row>
  </sheetData>
  <mergeCells count="8">
    <mergeCell ref="A12:H12"/>
    <mergeCell ref="A13:H13"/>
    <mergeCell ref="A15:H15"/>
    <mergeCell ref="A1:H1"/>
    <mergeCell ref="A8:H8"/>
    <mergeCell ref="A9:H9"/>
    <mergeCell ref="A10:H10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topLeftCell="A15" zoomScale="85" zoomScaleNormal="85" workbookViewId="0">
      <selection activeCell="B15" sqref="B15"/>
    </sheetView>
  </sheetViews>
  <sheetFormatPr defaultRowHeight="14"/>
  <cols>
    <col min="1" max="1" width="34" customWidth="1"/>
    <col min="2" max="3" width="17" customWidth="1"/>
    <col min="4" max="5" width="14" customWidth="1"/>
    <col min="6" max="6" width="12.1640625" customWidth="1"/>
    <col min="7" max="7" width="14" customWidth="1"/>
  </cols>
  <sheetData>
    <row r="1" spans="1:6" ht="30" customHeight="1">
      <c r="A1" s="75" t="s">
        <v>32</v>
      </c>
      <c r="B1" s="75" t="s">
        <v>32</v>
      </c>
      <c r="C1" s="75" t="s">
        <v>32</v>
      </c>
      <c r="D1" s="75" t="s">
        <v>32</v>
      </c>
      <c r="E1" s="75" t="s">
        <v>32</v>
      </c>
      <c r="F1" s="75" t="s">
        <v>32</v>
      </c>
    </row>
    <row r="2" spans="1:6" ht="14.5">
      <c r="A2" s="8"/>
      <c r="B2" s="8"/>
      <c r="C2" s="8"/>
      <c r="D2" s="8"/>
      <c r="E2" s="8"/>
      <c r="F2" s="8"/>
    </row>
    <row r="3" spans="1:6" ht="29">
      <c r="A3" s="9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1" t="s">
        <v>38</v>
      </c>
    </row>
    <row r="4" spans="1:6" ht="14.5">
      <c r="A4" s="12" t="s">
        <v>39</v>
      </c>
      <c r="B4" s="13">
        <v>2</v>
      </c>
      <c r="C4" s="13">
        <v>2</v>
      </c>
      <c r="D4" s="14" t="s">
        <v>40</v>
      </c>
      <c r="E4" s="14" t="s">
        <v>41</v>
      </c>
      <c r="F4" s="15" t="s">
        <v>42</v>
      </c>
    </row>
    <row r="5" spans="1:6" ht="14.5">
      <c r="A5" s="16" t="s">
        <v>43</v>
      </c>
      <c r="B5" s="17">
        <v>1.78</v>
      </c>
      <c r="C5" s="17">
        <v>0.72099999999999997</v>
      </c>
      <c r="D5" s="18" t="s">
        <v>44</v>
      </c>
      <c r="E5" s="18" t="s">
        <v>41</v>
      </c>
      <c r="F5" s="19" t="s">
        <v>45</v>
      </c>
    </row>
    <row r="6" spans="1:6" ht="14.5">
      <c r="A6" s="16" t="s">
        <v>46</v>
      </c>
      <c r="B6" s="17">
        <v>0.77600000000000002</v>
      </c>
      <c r="C6" s="17">
        <v>0.77500000000000002</v>
      </c>
      <c r="D6" s="18" t="s">
        <v>44</v>
      </c>
      <c r="E6" s="18" t="s">
        <v>41</v>
      </c>
      <c r="F6" s="19" t="s">
        <v>47</v>
      </c>
    </row>
    <row r="7" spans="1:6" ht="14.5">
      <c r="A7" s="16" t="s">
        <v>48</v>
      </c>
      <c r="B7" s="20">
        <v>2</v>
      </c>
      <c r="C7" s="20">
        <v>2</v>
      </c>
      <c r="D7" s="18" t="s">
        <v>49</v>
      </c>
      <c r="E7" s="18" t="s">
        <v>41</v>
      </c>
      <c r="F7" s="19" t="s">
        <v>50</v>
      </c>
    </row>
    <row r="8" spans="1:6" ht="14.5">
      <c r="A8" s="16" t="s">
        <v>51</v>
      </c>
      <c r="B8" s="21">
        <f>B5*B6/B7</f>
        <v>0.69064000000000003</v>
      </c>
      <c r="C8" s="21">
        <f>C5*C6/C7</f>
        <v>0.27938750000000001</v>
      </c>
      <c r="D8" s="18" t="s">
        <v>52</v>
      </c>
      <c r="E8" s="18" t="s">
        <v>53</v>
      </c>
      <c r="F8" s="19" t="s">
        <v>54</v>
      </c>
    </row>
    <row r="9" spans="1:6" ht="14.5">
      <c r="A9" s="16" t="s">
        <v>55</v>
      </c>
      <c r="B9" s="21">
        <f>B4*B8</f>
        <v>1.3812800000000001</v>
      </c>
      <c r="C9" s="21">
        <f>C4*C8</f>
        <v>0.55877500000000002</v>
      </c>
      <c r="D9" s="18" t="s">
        <v>52</v>
      </c>
      <c r="E9" s="18" t="s">
        <v>53</v>
      </c>
      <c r="F9" s="19" t="s">
        <v>56</v>
      </c>
    </row>
    <row r="10" spans="1:6" ht="14.5">
      <c r="A10" s="16" t="s">
        <v>57</v>
      </c>
      <c r="B10" s="22">
        <v>0.6</v>
      </c>
      <c r="C10" s="18"/>
      <c r="D10" s="18" t="s">
        <v>58</v>
      </c>
      <c r="E10" s="18" t="s">
        <v>41</v>
      </c>
      <c r="F10" s="19" t="s">
        <v>59</v>
      </c>
    </row>
    <row r="11" spans="1:6" ht="14.5">
      <c r="A11" s="23" t="s">
        <v>60</v>
      </c>
      <c r="B11" s="24">
        <v>0.15</v>
      </c>
      <c r="C11" s="25"/>
      <c r="D11" s="25" t="s">
        <v>58</v>
      </c>
      <c r="E11" s="25" t="s">
        <v>41</v>
      </c>
      <c r="F11" s="26" t="s">
        <v>61</v>
      </c>
    </row>
    <row r="12" spans="1:6" ht="14.5">
      <c r="A12" s="8"/>
      <c r="B12" s="8"/>
      <c r="C12" s="8"/>
      <c r="D12" s="8"/>
      <c r="E12" s="8"/>
      <c r="F12" s="8"/>
    </row>
    <row r="13" spans="1:6" ht="23" customHeight="1">
      <c r="A13" s="76" t="s">
        <v>62</v>
      </c>
      <c r="B13" s="76" t="s">
        <v>62</v>
      </c>
      <c r="C13" s="76" t="s">
        <v>62</v>
      </c>
      <c r="D13" s="76" t="s">
        <v>62</v>
      </c>
      <c r="E13" s="76" t="s">
        <v>62</v>
      </c>
      <c r="F13" s="76" t="s">
        <v>62</v>
      </c>
    </row>
    <row r="14" spans="1:6" ht="14.5">
      <c r="A14" s="9" t="s">
        <v>33</v>
      </c>
      <c r="B14" s="10" t="s">
        <v>2</v>
      </c>
      <c r="C14" s="10" t="s">
        <v>36</v>
      </c>
      <c r="D14" s="11" t="s">
        <v>38</v>
      </c>
      <c r="E14" s="8"/>
      <c r="F14" s="8"/>
    </row>
    <row r="15" spans="1:6" ht="14.5">
      <c r="A15" s="12" t="s">
        <v>63</v>
      </c>
      <c r="B15" s="13">
        <v>7</v>
      </c>
      <c r="C15" s="14" t="s">
        <v>64</v>
      </c>
      <c r="D15" s="15" t="s">
        <v>65</v>
      </c>
      <c r="E15" s="8"/>
      <c r="F15" s="8"/>
    </row>
    <row r="16" spans="1:6" ht="14.5">
      <c r="A16" s="16" t="s">
        <v>66</v>
      </c>
      <c r="B16" s="22">
        <v>0.2</v>
      </c>
      <c r="C16" s="18" t="s">
        <v>58</v>
      </c>
      <c r="D16" s="19" t="s">
        <v>67</v>
      </c>
      <c r="E16" s="8"/>
      <c r="F16" s="8"/>
    </row>
    <row r="17" spans="1:7" ht="14.5">
      <c r="A17" s="16" t="s">
        <v>68</v>
      </c>
      <c r="B17" s="20">
        <v>10500</v>
      </c>
      <c r="C17" s="18" t="s">
        <v>52</v>
      </c>
      <c r="D17" s="19" t="s">
        <v>69</v>
      </c>
      <c r="E17" s="8"/>
      <c r="F17" s="8"/>
    </row>
    <row r="18" spans="1:7" ht="14.5">
      <c r="A18" s="16" t="s">
        <v>70</v>
      </c>
      <c r="B18" s="20">
        <v>2500</v>
      </c>
      <c r="C18" s="18" t="s">
        <v>52</v>
      </c>
      <c r="D18" s="19" t="s">
        <v>71</v>
      </c>
      <c r="E18" s="8"/>
      <c r="F18" s="8"/>
    </row>
    <row r="19" spans="1:7" ht="14.5">
      <c r="A19" s="23" t="s">
        <v>72</v>
      </c>
      <c r="B19" s="27">
        <v>4000</v>
      </c>
      <c r="C19" s="25" t="s">
        <v>52</v>
      </c>
      <c r="D19" s="26" t="s">
        <v>73</v>
      </c>
      <c r="E19" s="8"/>
      <c r="F19" s="8"/>
    </row>
    <row r="21" spans="1:7">
      <c r="A21" s="86" t="s">
        <v>74</v>
      </c>
      <c r="B21" s="86" t="s">
        <v>74</v>
      </c>
      <c r="C21" s="86" t="s">
        <v>74</v>
      </c>
      <c r="D21" s="86" t="s">
        <v>74</v>
      </c>
      <c r="E21" s="86" t="s">
        <v>74</v>
      </c>
      <c r="F21" s="86" t="s">
        <v>74</v>
      </c>
      <c r="G21" s="86" t="s">
        <v>74</v>
      </c>
    </row>
    <row r="22" spans="1:7">
      <c r="A22" s="68" t="s">
        <v>75</v>
      </c>
      <c r="B22" s="69" t="s">
        <v>76</v>
      </c>
      <c r="C22" s="69" t="s">
        <v>77</v>
      </c>
      <c r="D22" s="69" t="s">
        <v>78</v>
      </c>
      <c r="E22" s="69" t="s">
        <v>79</v>
      </c>
      <c r="F22" s="69" t="s">
        <v>80</v>
      </c>
      <c r="G22" s="70" t="s">
        <v>81</v>
      </c>
    </row>
    <row r="23" spans="1:7">
      <c r="A23" s="4" t="s">
        <v>82</v>
      </c>
      <c r="B23" s="5" t="s">
        <v>83</v>
      </c>
      <c r="C23" s="71">
        <v>721</v>
      </c>
      <c r="D23" s="71">
        <v>775</v>
      </c>
      <c r="E23" s="71">
        <v>2000</v>
      </c>
      <c r="F23" s="71">
        <v>82</v>
      </c>
      <c r="G23" s="73">
        <v>1.1180000000000001</v>
      </c>
    </row>
    <row r="24" spans="1:7">
      <c r="A24" s="6" t="s">
        <v>84</v>
      </c>
      <c r="B24" s="7" t="s">
        <v>85</v>
      </c>
      <c r="C24" s="72">
        <v>1780</v>
      </c>
      <c r="D24" s="72">
        <v>776</v>
      </c>
      <c r="E24" s="72">
        <v>890</v>
      </c>
      <c r="F24" s="72">
        <v>90</v>
      </c>
      <c r="G24" s="74">
        <v>1.2290000000000001</v>
      </c>
    </row>
  </sheetData>
  <mergeCells count="3">
    <mergeCell ref="A1:F1"/>
    <mergeCell ref="A13:F13"/>
    <mergeCell ref="A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showGridLines="0" zoomScale="55" zoomScaleNormal="55" workbookViewId="0">
      <selection activeCell="L22" sqref="L22"/>
    </sheetView>
  </sheetViews>
  <sheetFormatPr defaultRowHeight="14"/>
  <cols>
    <col min="1" max="1" width="32" customWidth="1"/>
    <col min="2" max="12" width="15" customWidth="1"/>
  </cols>
  <sheetData>
    <row r="1" spans="1:12" ht="30" customHeight="1">
      <c r="A1" s="75" t="s">
        <v>86</v>
      </c>
      <c r="B1" s="75" t="s">
        <v>86</v>
      </c>
      <c r="C1" s="75" t="s">
        <v>86</v>
      </c>
      <c r="D1" s="75" t="s">
        <v>86</v>
      </c>
      <c r="E1" s="75" t="s">
        <v>86</v>
      </c>
      <c r="F1" s="75" t="s">
        <v>86</v>
      </c>
      <c r="G1" s="75" t="s">
        <v>86</v>
      </c>
      <c r="H1" s="75" t="s">
        <v>86</v>
      </c>
      <c r="I1" s="75" t="s">
        <v>86</v>
      </c>
      <c r="J1" s="75" t="s">
        <v>86</v>
      </c>
      <c r="K1" s="75" t="s">
        <v>86</v>
      </c>
      <c r="L1" s="75" t="s">
        <v>86</v>
      </c>
    </row>
    <row r="2" spans="1:12" ht="14.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3" customHeight="1">
      <c r="A3" s="76" t="s">
        <v>87</v>
      </c>
      <c r="B3" s="76" t="s">
        <v>87</v>
      </c>
      <c r="C3" s="76" t="s">
        <v>87</v>
      </c>
      <c r="D3" s="76" t="s">
        <v>87</v>
      </c>
      <c r="E3" s="76" t="s">
        <v>87</v>
      </c>
      <c r="F3" s="76" t="s">
        <v>87</v>
      </c>
      <c r="G3" s="8"/>
      <c r="H3" s="8"/>
      <c r="I3" s="8"/>
      <c r="J3" s="8"/>
      <c r="K3" s="8"/>
      <c r="L3" s="8"/>
    </row>
    <row r="4" spans="1:12" ht="29">
      <c r="A4" s="9" t="s">
        <v>88</v>
      </c>
      <c r="B4" s="10" t="s">
        <v>89</v>
      </c>
      <c r="C4" s="10" t="s">
        <v>85</v>
      </c>
      <c r="D4" s="10" t="s">
        <v>83</v>
      </c>
      <c r="E4" s="10" t="s">
        <v>7</v>
      </c>
      <c r="F4" s="11" t="s">
        <v>90</v>
      </c>
      <c r="G4" s="8"/>
      <c r="H4" s="8"/>
      <c r="I4" s="8"/>
      <c r="J4" s="8"/>
      <c r="K4" s="8"/>
      <c r="L4" s="8"/>
    </row>
    <row r="5" spans="1:12" ht="14.5">
      <c r="A5" s="12" t="s">
        <v>91</v>
      </c>
      <c r="B5" s="28">
        <v>3000</v>
      </c>
      <c r="C5" s="29">
        <f>B5*Asumsi!B4</f>
        <v>6000</v>
      </c>
      <c r="D5" s="29">
        <f>B5*Asumsi!C4</f>
        <v>6000</v>
      </c>
      <c r="E5" s="29">
        <f>C5+D5</f>
        <v>12000</v>
      </c>
      <c r="F5" s="30">
        <f>B5/$B$7</f>
        <v>0.15</v>
      </c>
      <c r="G5" s="8"/>
      <c r="H5" s="8"/>
      <c r="I5" s="8"/>
      <c r="J5" s="8"/>
      <c r="K5" s="8"/>
      <c r="L5" s="8"/>
    </row>
    <row r="6" spans="1:12" ht="14.5">
      <c r="A6" s="16" t="s">
        <v>92</v>
      </c>
      <c r="B6" s="31">
        <v>17000</v>
      </c>
      <c r="C6" s="32">
        <f>B6*Asumsi!B4</f>
        <v>34000</v>
      </c>
      <c r="D6" s="32">
        <f>B6*Asumsi!C4</f>
        <v>34000</v>
      </c>
      <c r="E6" s="32">
        <f>C6+D6</f>
        <v>68000</v>
      </c>
      <c r="F6" s="33">
        <f>B6/$B$7</f>
        <v>0.85</v>
      </c>
      <c r="G6" s="8"/>
      <c r="H6" s="8"/>
      <c r="I6" s="8"/>
      <c r="J6" s="8"/>
      <c r="K6" s="8"/>
      <c r="L6" s="8"/>
    </row>
    <row r="7" spans="1:12" ht="14.5">
      <c r="A7" s="23" t="s">
        <v>10</v>
      </c>
      <c r="B7" s="34">
        <f>SUM(B5:B6)</f>
        <v>20000</v>
      </c>
      <c r="C7" s="34">
        <f>SUM(C5:C6)</f>
        <v>40000</v>
      </c>
      <c r="D7" s="34">
        <f>SUM(D5:D6)</f>
        <v>40000</v>
      </c>
      <c r="E7" s="34">
        <f>SUM(E5:E6)</f>
        <v>80000</v>
      </c>
      <c r="F7" s="35">
        <f>SUM(F5:F6)</f>
        <v>1</v>
      </c>
      <c r="G7" s="8"/>
      <c r="H7" s="8"/>
      <c r="I7" s="8"/>
      <c r="J7" s="8"/>
      <c r="K7" s="8"/>
      <c r="L7" s="8"/>
    </row>
    <row r="8" spans="1:12" ht="14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23" customHeight="1">
      <c r="A9" s="76" t="s">
        <v>93</v>
      </c>
      <c r="B9" s="76" t="s">
        <v>93</v>
      </c>
      <c r="C9" s="76" t="s">
        <v>93</v>
      </c>
      <c r="D9" s="76" t="s">
        <v>93</v>
      </c>
      <c r="E9" s="76" t="s">
        <v>93</v>
      </c>
      <c r="F9" s="76" t="s">
        <v>93</v>
      </c>
      <c r="G9" s="76" t="s">
        <v>93</v>
      </c>
      <c r="H9" s="76" t="s">
        <v>93</v>
      </c>
      <c r="I9" s="76" t="s">
        <v>93</v>
      </c>
      <c r="J9" s="76" t="s">
        <v>93</v>
      </c>
      <c r="K9" s="76" t="s">
        <v>93</v>
      </c>
      <c r="L9" s="76" t="s">
        <v>93</v>
      </c>
    </row>
    <row r="10" spans="1:12" ht="14.5">
      <c r="A10" s="9" t="s">
        <v>18</v>
      </c>
      <c r="B10" s="10" t="s">
        <v>85</v>
      </c>
      <c r="C10" s="10" t="s">
        <v>94</v>
      </c>
      <c r="D10" s="10" t="s">
        <v>7</v>
      </c>
      <c r="E10" s="10" t="s">
        <v>95</v>
      </c>
      <c r="F10" s="10" t="s">
        <v>96</v>
      </c>
      <c r="G10" s="10" t="s">
        <v>97</v>
      </c>
      <c r="H10" s="10" t="s">
        <v>98</v>
      </c>
      <c r="I10" s="10" t="s">
        <v>99</v>
      </c>
      <c r="J10" s="10" t="s">
        <v>100</v>
      </c>
      <c r="K10" s="10" t="s">
        <v>101</v>
      </c>
      <c r="L10" s="11" t="s">
        <v>102</v>
      </c>
    </row>
    <row r="11" spans="1:12" ht="14.5">
      <c r="A11" s="12" t="s">
        <v>25</v>
      </c>
      <c r="B11" s="28">
        <v>10000</v>
      </c>
      <c r="C11" s="28">
        <v>10000</v>
      </c>
      <c r="D11" s="29">
        <f>B11+C11</f>
        <v>20000</v>
      </c>
      <c r="E11" s="29">
        <f>MIN(B11/Asumsi!B4,C11/Asumsi!C4)</f>
        <v>5000</v>
      </c>
      <c r="F11" s="29">
        <f>30</f>
        <v>30</v>
      </c>
      <c r="G11" s="29">
        <f>E11/F11</f>
        <v>166.66666666666666</v>
      </c>
      <c r="H11" s="29">
        <f>G11*Asumsi!B15</f>
        <v>1166.6666666666665</v>
      </c>
      <c r="I11" s="36">
        <f>H11*SUM(Asumsi!B9:C9)</f>
        <v>2263.3974999999996</v>
      </c>
      <c r="J11" s="36">
        <f>I11/Asumsi!B10*(1+Asumsi!B11)</f>
        <v>4338.1785416666653</v>
      </c>
      <c r="K11" s="36">
        <f>J11*(1+Asumsi!B16)</f>
        <v>5205.8142499999985</v>
      </c>
      <c r="L11" s="37">
        <f>ROUNDUP(K11/500,0)*500</f>
        <v>5500</v>
      </c>
    </row>
    <row r="12" spans="1:12" ht="14.5">
      <c r="A12" s="38" t="s">
        <v>27</v>
      </c>
      <c r="B12" s="39">
        <v>20000</v>
      </c>
      <c r="C12" s="39">
        <v>20000</v>
      </c>
      <c r="D12" s="40">
        <f>B12+C12</f>
        <v>40000</v>
      </c>
      <c r="E12" s="40">
        <f>MIN(B12/Asumsi!B4,C12/Asumsi!C4)</f>
        <v>10000</v>
      </c>
      <c r="F12" s="40">
        <f>30</f>
        <v>30</v>
      </c>
      <c r="G12" s="40">
        <f>E12/F12</f>
        <v>333.33333333333331</v>
      </c>
      <c r="H12" s="40">
        <f>G12*Asumsi!B15</f>
        <v>2333.333333333333</v>
      </c>
      <c r="I12" s="41">
        <f>H12*SUM(Asumsi!B9:C9)</f>
        <v>4526.7949999999992</v>
      </c>
      <c r="J12" s="41">
        <f>I12/Asumsi!B10*(1+Asumsi!B11)</f>
        <v>8676.3570833333306</v>
      </c>
      <c r="K12" s="41">
        <f>J12*(1+Asumsi!B16)</f>
        <v>10411.628499999997</v>
      </c>
      <c r="L12" s="42">
        <f>ROUNDUP(K12/500,0)*500</f>
        <v>10500</v>
      </c>
    </row>
    <row r="13" spans="1:12" ht="14.5">
      <c r="A13" s="23" t="s">
        <v>29</v>
      </c>
      <c r="B13" s="43">
        <v>10000</v>
      </c>
      <c r="C13" s="43">
        <v>10000</v>
      </c>
      <c r="D13" s="44">
        <f>B13+C13</f>
        <v>20000</v>
      </c>
      <c r="E13" s="44">
        <f>MIN(B13/Asumsi!B4,C13/Asumsi!C4)</f>
        <v>5000</v>
      </c>
      <c r="F13" s="44">
        <f>30</f>
        <v>30</v>
      </c>
      <c r="G13" s="44">
        <f>E13/F13</f>
        <v>166.66666666666666</v>
      </c>
      <c r="H13" s="44">
        <f>G13*Asumsi!B15</f>
        <v>1166.6666666666665</v>
      </c>
      <c r="I13" s="45">
        <f>H13*SUM(Asumsi!B9:C9)</f>
        <v>2263.3974999999996</v>
      </c>
      <c r="J13" s="45">
        <f>I13/Asumsi!B10*(1+Asumsi!B11)</f>
        <v>4338.1785416666653</v>
      </c>
      <c r="K13" s="45">
        <f>J13*(1+Asumsi!B16)</f>
        <v>5205.8142499999985</v>
      </c>
      <c r="L13" s="46">
        <f>ROUNDUP(K13/500,0)*500</f>
        <v>5500</v>
      </c>
    </row>
    <row r="14" spans="1:12" ht="14.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23" customHeight="1">
      <c r="A15" s="76" t="s">
        <v>103</v>
      </c>
      <c r="B15" s="76" t="s">
        <v>103</v>
      </c>
      <c r="C15" s="76" t="s">
        <v>103</v>
      </c>
      <c r="D15" s="76" t="s">
        <v>103</v>
      </c>
      <c r="E15" s="76" t="s">
        <v>103</v>
      </c>
      <c r="F15" s="76" t="s">
        <v>103</v>
      </c>
      <c r="G15" s="8"/>
      <c r="H15" s="8"/>
      <c r="I15" s="8"/>
      <c r="J15" s="8"/>
      <c r="K15" s="8"/>
      <c r="L15" s="8"/>
    </row>
    <row r="16" spans="1:12" ht="14.5">
      <c r="A16" s="9" t="s">
        <v>18</v>
      </c>
      <c r="B16" s="10" t="s">
        <v>95</v>
      </c>
      <c r="C16" s="10" t="s">
        <v>99</v>
      </c>
      <c r="D16" s="10" t="s">
        <v>100</v>
      </c>
      <c r="E16" s="10" t="s">
        <v>104</v>
      </c>
      <c r="F16" s="11" t="s">
        <v>105</v>
      </c>
      <c r="G16" s="8"/>
      <c r="H16" s="8"/>
      <c r="I16" s="8"/>
      <c r="J16" s="8"/>
      <c r="K16" s="8"/>
      <c r="L16" s="8"/>
    </row>
    <row r="17" spans="1:12" ht="14.5">
      <c r="A17" s="12" t="s">
        <v>25</v>
      </c>
      <c r="B17" s="29">
        <v>5000</v>
      </c>
      <c r="C17" s="29">
        <f>B17*SUM(Asumsi!B9:C9)</f>
        <v>9700.2749999999996</v>
      </c>
      <c r="D17" s="29">
        <f>C17/Asumsi!B10</f>
        <v>16167.125</v>
      </c>
      <c r="E17" s="29">
        <f>D17*(1+Asumsi!B11)</f>
        <v>18592.193749999999</v>
      </c>
      <c r="F17" s="15" t="s">
        <v>106</v>
      </c>
      <c r="G17" s="8"/>
      <c r="H17" s="8"/>
      <c r="I17" s="8"/>
      <c r="J17" s="8"/>
      <c r="K17" s="8"/>
      <c r="L17" s="8"/>
    </row>
    <row r="18" spans="1:12" ht="14.5">
      <c r="A18" s="38" t="s">
        <v>27</v>
      </c>
      <c r="B18" s="40">
        <v>10000</v>
      </c>
      <c r="C18" s="40">
        <f>B18*SUM(Asumsi!B9:C9)</f>
        <v>19400.55</v>
      </c>
      <c r="D18" s="40">
        <f>C18/Asumsi!B10</f>
        <v>32334.25</v>
      </c>
      <c r="E18" s="40">
        <f>D18*(1+Asumsi!B11)</f>
        <v>37184.387499999997</v>
      </c>
      <c r="F18" s="47" t="s">
        <v>107</v>
      </c>
      <c r="G18" s="8"/>
      <c r="H18" s="8"/>
      <c r="I18" s="8"/>
      <c r="J18" s="8"/>
      <c r="K18" s="8"/>
      <c r="L18" s="8"/>
    </row>
    <row r="19" spans="1:12" ht="14.5">
      <c r="A19" s="23" t="s">
        <v>29</v>
      </c>
      <c r="B19" s="44">
        <v>5000</v>
      </c>
      <c r="C19" s="44">
        <f>B19*SUM(Asumsi!B9:C9)</f>
        <v>9700.2749999999996</v>
      </c>
      <c r="D19" s="44">
        <f>C19/Asumsi!B10</f>
        <v>16167.125</v>
      </c>
      <c r="E19" s="44">
        <f>D19*(1+Asumsi!B11)</f>
        <v>18592.193749999999</v>
      </c>
      <c r="F19" s="26" t="s">
        <v>106</v>
      </c>
      <c r="G19" s="8"/>
      <c r="H19" s="8"/>
      <c r="I19" s="8"/>
      <c r="J19" s="8"/>
      <c r="K19" s="8"/>
      <c r="L19" s="8"/>
    </row>
    <row r="21" spans="1:12">
      <c r="H21" s="1" t="s">
        <v>108</v>
      </c>
      <c r="I21" s="2" t="s">
        <v>5</v>
      </c>
      <c r="J21" s="2" t="s">
        <v>85</v>
      </c>
      <c r="K21" s="2" t="s">
        <v>94</v>
      </c>
      <c r="L21" s="3" t="s">
        <v>37</v>
      </c>
    </row>
    <row r="22" spans="1:12">
      <c r="H22" s="65" t="s">
        <v>109</v>
      </c>
      <c r="I22" s="66">
        <f>SUM(E11:E13)-B7</f>
        <v>0</v>
      </c>
      <c r="J22" s="66">
        <f>SUM(B11:B13)-C7</f>
        <v>0</v>
      </c>
      <c r="K22" s="66">
        <f>SUM(C11:C13)-D7</f>
        <v>0</v>
      </c>
      <c r="L22" s="67" t="str">
        <f>IF(AND(I22=0,J22=0,K22=0),"OK","CHECK")</f>
        <v>OK</v>
      </c>
    </row>
  </sheetData>
  <mergeCells count="4">
    <mergeCell ref="A1:L1"/>
    <mergeCell ref="A3:F3"/>
    <mergeCell ref="A9:L9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topLeftCell="A10" zoomScale="68" workbookViewId="0">
      <selection activeCell="D8" sqref="D8"/>
    </sheetView>
  </sheetViews>
  <sheetFormatPr defaultRowHeight="14"/>
  <cols>
    <col min="1" max="1" width="11.9140625" bestFit="1" customWidth="1"/>
    <col min="2" max="2" width="23" customWidth="1"/>
    <col min="3" max="3" width="38" customWidth="1"/>
    <col min="4" max="4" width="30" customWidth="1"/>
    <col min="5" max="6" width="20" customWidth="1"/>
    <col min="7" max="8" width="28" customWidth="1"/>
  </cols>
  <sheetData>
    <row r="1" spans="1:8" ht="30" customHeight="1">
      <c r="A1" s="75" t="s">
        <v>110</v>
      </c>
      <c r="B1" s="75" t="s">
        <v>110</v>
      </c>
      <c r="C1" s="75" t="s">
        <v>110</v>
      </c>
      <c r="D1" s="75" t="s">
        <v>110</v>
      </c>
      <c r="E1" s="75" t="s">
        <v>110</v>
      </c>
      <c r="F1" s="75" t="s">
        <v>110</v>
      </c>
      <c r="G1" s="75" t="s">
        <v>110</v>
      </c>
      <c r="H1" s="75" t="s">
        <v>110</v>
      </c>
    </row>
    <row r="2" spans="1:8" ht="14.5">
      <c r="A2" s="8"/>
      <c r="B2" s="8"/>
      <c r="C2" s="8"/>
      <c r="D2" s="8"/>
      <c r="E2" s="8"/>
      <c r="F2" s="8"/>
      <c r="G2" s="8"/>
      <c r="H2" s="8"/>
    </row>
    <row r="3" spans="1:8" ht="14.5">
      <c r="A3" s="9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1" t="s">
        <v>118</v>
      </c>
    </row>
    <row r="4" spans="1:8" ht="48" customHeight="1">
      <c r="A4" s="56">
        <v>1</v>
      </c>
      <c r="B4" s="57" t="s">
        <v>119</v>
      </c>
      <c r="C4" s="57" t="s">
        <v>120</v>
      </c>
      <c r="D4" s="57" t="s">
        <v>121</v>
      </c>
      <c r="E4" s="57" t="s">
        <v>122</v>
      </c>
      <c r="F4" s="57" t="s">
        <v>123</v>
      </c>
      <c r="G4" s="57" t="s">
        <v>124</v>
      </c>
      <c r="H4" s="58" t="s">
        <v>125</v>
      </c>
    </row>
    <row r="5" spans="1:8" ht="48" customHeight="1">
      <c r="A5" s="59">
        <v>2</v>
      </c>
      <c r="B5" s="60" t="s">
        <v>119</v>
      </c>
      <c r="C5" s="60" t="s">
        <v>126</v>
      </c>
      <c r="D5" s="60" t="s">
        <v>127</v>
      </c>
      <c r="E5" s="60" t="s">
        <v>128</v>
      </c>
      <c r="F5" s="60" t="s">
        <v>129</v>
      </c>
      <c r="G5" s="60" t="s">
        <v>130</v>
      </c>
      <c r="H5" s="61" t="s">
        <v>131</v>
      </c>
    </row>
    <row r="6" spans="1:8" ht="48" customHeight="1">
      <c r="A6" s="59">
        <v>3</v>
      </c>
      <c r="B6" s="60" t="s">
        <v>132</v>
      </c>
      <c r="C6" s="60" t="s">
        <v>133</v>
      </c>
      <c r="D6" s="60" t="s">
        <v>134</v>
      </c>
      <c r="E6" s="60" t="s">
        <v>135</v>
      </c>
      <c r="F6" s="60" t="s">
        <v>136</v>
      </c>
      <c r="G6" s="60" t="s">
        <v>137</v>
      </c>
      <c r="H6" s="61" t="s">
        <v>138</v>
      </c>
    </row>
    <row r="7" spans="1:8" ht="48" customHeight="1">
      <c r="A7" s="59">
        <v>4</v>
      </c>
      <c r="B7" s="60" t="s">
        <v>139</v>
      </c>
      <c r="C7" s="60" t="s">
        <v>140</v>
      </c>
      <c r="D7" s="60" t="s">
        <v>141</v>
      </c>
      <c r="E7" s="60" t="s">
        <v>142</v>
      </c>
      <c r="F7" s="60" t="s">
        <v>143</v>
      </c>
      <c r="G7" s="60" t="s">
        <v>144</v>
      </c>
      <c r="H7" s="61" t="s">
        <v>145</v>
      </c>
    </row>
    <row r="8" spans="1:8" ht="48" customHeight="1">
      <c r="A8" s="59">
        <v>5</v>
      </c>
      <c r="B8" s="60" t="s">
        <v>146</v>
      </c>
      <c r="C8" s="60" t="s">
        <v>147</v>
      </c>
      <c r="D8" s="60" t="s">
        <v>148</v>
      </c>
      <c r="E8" s="60" t="s">
        <v>149</v>
      </c>
      <c r="F8" s="60" t="s">
        <v>150</v>
      </c>
      <c r="G8" s="60" t="s">
        <v>151</v>
      </c>
      <c r="H8" s="61" t="s">
        <v>152</v>
      </c>
    </row>
    <row r="9" spans="1:8" ht="48" customHeight="1">
      <c r="A9" s="59">
        <v>6</v>
      </c>
      <c r="B9" s="60" t="s">
        <v>22</v>
      </c>
      <c r="C9" s="60" t="s">
        <v>153</v>
      </c>
      <c r="D9" s="60" t="s">
        <v>154</v>
      </c>
      <c r="E9" s="60" t="s">
        <v>155</v>
      </c>
      <c r="F9" s="60" t="s">
        <v>156</v>
      </c>
      <c r="G9" s="60" t="s">
        <v>157</v>
      </c>
      <c r="H9" s="61" t="s">
        <v>158</v>
      </c>
    </row>
    <row r="10" spans="1:8" ht="48" customHeight="1">
      <c r="A10" s="59">
        <v>7</v>
      </c>
      <c r="B10" s="60" t="s">
        <v>22</v>
      </c>
      <c r="C10" s="60" t="s">
        <v>159</v>
      </c>
      <c r="D10" s="60" t="s">
        <v>160</v>
      </c>
      <c r="E10" s="60" t="s">
        <v>161</v>
      </c>
      <c r="F10" s="60" t="s">
        <v>162</v>
      </c>
      <c r="G10" s="60" t="s">
        <v>163</v>
      </c>
      <c r="H10" s="61" t="s">
        <v>164</v>
      </c>
    </row>
    <row r="11" spans="1:8" ht="48" customHeight="1">
      <c r="A11" s="59">
        <v>8</v>
      </c>
      <c r="B11" s="60" t="s">
        <v>89</v>
      </c>
      <c r="C11" s="60" t="s">
        <v>165</v>
      </c>
      <c r="D11" s="60" t="s">
        <v>166</v>
      </c>
      <c r="E11" s="60" t="s">
        <v>167</v>
      </c>
      <c r="F11" s="60" t="s">
        <v>168</v>
      </c>
      <c r="G11" s="60" t="s">
        <v>169</v>
      </c>
      <c r="H11" s="61" t="s">
        <v>170</v>
      </c>
    </row>
    <row r="12" spans="1:8" ht="48" customHeight="1">
      <c r="A12" s="62">
        <v>9</v>
      </c>
      <c r="B12" s="63" t="s">
        <v>171</v>
      </c>
      <c r="C12" s="63" t="s">
        <v>172</v>
      </c>
      <c r="D12" s="63" t="s">
        <v>173</v>
      </c>
      <c r="E12" s="63" t="s">
        <v>174</v>
      </c>
      <c r="F12" s="63" t="s">
        <v>175</v>
      </c>
      <c r="G12" s="63" t="s">
        <v>176</v>
      </c>
      <c r="H12" s="64" t="s">
        <v>177</v>
      </c>
    </row>
    <row r="13" spans="1:8" ht="14.5">
      <c r="A13" s="8"/>
      <c r="B13" s="8"/>
      <c r="C13" s="8"/>
      <c r="D13" s="8"/>
      <c r="E13" s="8"/>
      <c r="F13" s="8"/>
      <c r="G13" s="8"/>
      <c r="H13" s="8"/>
    </row>
    <row r="14" spans="1:8" ht="23" customHeight="1">
      <c r="A14" s="76" t="s">
        <v>178</v>
      </c>
      <c r="B14" s="76" t="s">
        <v>178</v>
      </c>
      <c r="C14" s="76" t="s">
        <v>178</v>
      </c>
      <c r="D14" s="76" t="s">
        <v>178</v>
      </c>
      <c r="E14" s="76" t="s">
        <v>178</v>
      </c>
      <c r="F14" s="76" t="s">
        <v>178</v>
      </c>
      <c r="G14" s="76" t="s">
        <v>178</v>
      </c>
      <c r="H14" s="76" t="s">
        <v>178</v>
      </c>
    </row>
    <row r="15" spans="1:8" ht="14.5">
      <c r="A15" s="9" t="s">
        <v>179</v>
      </c>
      <c r="B15" s="10" t="s">
        <v>150</v>
      </c>
      <c r="C15" s="10" t="s">
        <v>23</v>
      </c>
      <c r="D15" s="11" t="s">
        <v>180</v>
      </c>
      <c r="E15" s="8"/>
      <c r="F15" s="8"/>
      <c r="G15" s="8"/>
      <c r="H15" s="8"/>
    </row>
    <row r="16" spans="1:8" ht="14.5">
      <c r="A16" s="12" t="s">
        <v>181</v>
      </c>
      <c r="B16" s="14" t="s">
        <v>6</v>
      </c>
      <c r="C16" s="14" t="s">
        <v>182</v>
      </c>
      <c r="D16" s="37">
        <v>7000</v>
      </c>
      <c r="E16" s="8"/>
      <c r="F16" s="8"/>
      <c r="G16" s="8"/>
      <c r="H16" s="8"/>
    </row>
    <row r="17" spans="1:8" ht="14.5">
      <c r="A17" s="16" t="s">
        <v>183</v>
      </c>
      <c r="B17" s="18" t="s">
        <v>8</v>
      </c>
      <c r="C17" s="18" t="s">
        <v>184</v>
      </c>
      <c r="D17" s="54">
        <v>3500</v>
      </c>
      <c r="E17" s="8"/>
      <c r="F17" s="8"/>
      <c r="G17" s="8"/>
      <c r="H17" s="8"/>
    </row>
    <row r="18" spans="1:8" ht="14.5">
      <c r="A18" s="23" t="s">
        <v>185</v>
      </c>
      <c r="B18" s="25" t="s">
        <v>30</v>
      </c>
      <c r="C18" s="25" t="s">
        <v>186</v>
      </c>
      <c r="D18" s="46">
        <v>2500</v>
      </c>
      <c r="E18" s="8"/>
      <c r="F18" s="8"/>
      <c r="G18" s="8"/>
      <c r="H18" s="8"/>
    </row>
  </sheetData>
  <mergeCells count="2">
    <mergeCell ref="A1:H1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Asumsi</vt:lpstr>
      <vt:lpstr>Perhitungan Gudang</vt:lpstr>
      <vt:lpstr>Skema Operasional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Dede Permana</cp:lastModifiedBy>
  <dcterms:modified xsi:type="dcterms:W3CDTF">2026-08-31T09:24:34Z</dcterms:modified>
</cp:coreProperties>
</file>